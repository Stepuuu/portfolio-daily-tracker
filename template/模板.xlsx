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<sst xmlns="http://schemas.openxmlformats.org/spreadsheetml/2006/main" count="52" uniqueCount="30">
  <si>
    <t>进攻账户</t>
  </si>
  <si>
    <t>公司名</t>
  </si>
  <si>
    <t>股票代码 (Ticker)</t>
  </si>
  <si>
    <t xml:space="preserve">股数 </t>
  </si>
  <si>
    <t xml:space="preserve">股价 </t>
  </si>
  <si>
    <t>市值（万）</t>
  </si>
  <si>
    <t>公司1</t>
  </si>
  <si>
    <t>SHA:000001</t>
  </si>
  <si>
    <t>公司2</t>
  </si>
  <si>
    <t>SHA:000002</t>
  </si>
  <si>
    <t>公司3</t>
  </si>
  <si>
    <t>SHE:600004</t>
  </si>
  <si>
    <t>创业板50ETF</t>
  </si>
  <si>
    <t>SHE:600000</t>
  </si>
  <si>
    <t>公司4</t>
  </si>
  <si>
    <t>SHA:000007</t>
  </si>
  <si>
    <t>基金</t>
  </si>
  <si>
    <t>/</t>
  </si>
  <si>
    <t>现金</t>
  </si>
  <si>
    <t>总计</t>
  </si>
  <si>
    <t>稳健账户</t>
  </si>
  <si>
    <t>公司5</t>
  </si>
  <si>
    <t>公司6</t>
  </si>
  <si>
    <t>公司7</t>
  </si>
  <si>
    <t>HKG:0711</t>
  </si>
  <si>
    <t>公司8</t>
  </si>
  <si>
    <t>HKG:1812</t>
  </si>
  <si>
    <t>公司9</t>
  </si>
  <si>
    <t>公司10</t>
  </si>
  <si>
    <t>合计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</si>
</sst>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color rgb="FFFF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2" fontId="1" numFmtId="0" xfId="0" applyAlignment="1" applyFont="1">
      <alignment horizontal="center" vertical="bottom"/>
    </xf>
    <xf borderId="0" fillId="4" fontId="1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进攻组合配置比例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Sheet1!$A$3:$A$8</c:f>
            </c:strRef>
          </c:cat>
          <c:val>
            <c:numRef>
              <c:f>Sheet1!$E$3:$E$8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稳健组合配置比例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Sheet1!$A$13:$A$19</c:f>
            </c:strRef>
          </c:cat>
          <c:val>
            <c:numRef>
              <c:f>Sheet1!$E$13:$E$19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9525</xdr:rowOff>
    </xdr:from>
    <xdr:ext cx="4048125" cy="1790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9</xdr:row>
      <xdr:rowOff>9525</xdr:rowOff>
    </xdr:from>
    <xdr:ext cx="4048125" cy="2162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>
        <v>100.0</v>
      </c>
      <c r="D3" s="4">
        <v>3859.6226</v>
      </c>
      <c r="E3" s="5">
        <f t="shared" ref="E3:E7" si="1">C3*D3/10000</f>
        <v>38.596226</v>
      </c>
    </row>
    <row r="4">
      <c r="A4" s="3" t="s">
        <v>8</v>
      </c>
      <c r="B4" s="3" t="s">
        <v>9</v>
      </c>
      <c r="C4" s="4">
        <v>200.0</v>
      </c>
      <c r="D4" s="4">
        <v>4045.9054</v>
      </c>
      <c r="E4" s="5">
        <f t="shared" si="1"/>
        <v>80.918108</v>
      </c>
    </row>
    <row r="5">
      <c r="A5" s="3" t="s">
        <v>10</v>
      </c>
      <c r="B5" s="3" t="s">
        <v>11</v>
      </c>
      <c r="C5" s="4">
        <v>300.0</v>
      </c>
      <c r="D5" s="4">
        <v>26.45</v>
      </c>
      <c r="E5" s="5">
        <f t="shared" si="1"/>
        <v>0.7935</v>
      </c>
    </row>
    <row r="6">
      <c r="A6" s="2" t="s">
        <v>12</v>
      </c>
      <c r="B6" s="3" t="s">
        <v>13</v>
      </c>
      <c r="C6" s="4">
        <v>400.0</v>
      </c>
      <c r="D6" s="4">
        <v>1.505</v>
      </c>
      <c r="E6" s="5">
        <f t="shared" si="1"/>
        <v>0.0602</v>
      </c>
    </row>
    <row r="7">
      <c r="A7" s="3" t="s">
        <v>14</v>
      </c>
      <c r="B7" s="3" t="s">
        <v>15</v>
      </c>
      <c r="C7" s="4">
        <v>500.0</v>
      </c>
      <c r="D7" s="4">
        <v>4589.4335</v>
      </c>
      <c r="E7" s="5">
        <f t="shared" si="1"/>
        <v>229.471675</v>
      </c>
    </row>
    <row r="8">
      <c r="A8" s="2" t="s">
        <v>16</v>
      </c>
      <c r="B8" s="3" t="s">
        <v>17</v>
      </c>
      <c r="C8" s="2" t="s">
        <v>17</v>
      </c>
      <c r="D8" s="3" t="s">
        <v>17</v>
      </c>
      <c r="E8" s="4">
        <v>22.7191</v>
      </c>
    </row>
    <row r="9">
      <c r="A9" s="2" t="s">
        <v>18</v>
      </c>
      <c r="B9" s="3" t="s">
        <v>17</v>
      </c>
      <c r="C9" s="2" t="s">
        <v>17</v>
      </c>
      <c r="D9" s="2" t="s">
        <v>17</v>
      </c>
      <c r="E9" s="5">
        <v>0.004</v>
      </c>
    </row>
    <row r="10">
      <c r="A10" s="2" t="s">
        <v>19</v>
      </c>
      <c r="B10" s="3" t="s">
        <v>17</v>
      </c>
      <c r="C10" s="2" t="s">
        <v>17</v>
      </c>
      <c r="D10" s="2" t="s">
        <v>17</v>
      </c>
      <c r="E10" s="6">
        <f>SUM(E3:E9)</f>
        <v>372.562809</v>
      </c>
    </row>
    <row r="11">
      <c r="A11" s="1" t="s">
        <v>20</v>
      </c>
    </row>
    <row r="12">
      <c r="A12" s="2" t="s">
        <v>1</v>
      </c>
      <c r="B12" s="2"/>
      <c r="C12" s="2" t="s">
        <v>3</v>
      </c>
      <c r="D12" s="2" t="s">
        <v>4</v>
      </c>
      <c r="E12" s="2" t="s">
        <v>5</v>
      </c>
    </row>
    <row r="13">
      <c r="A13" s="3" t="s">
        <v>21</v>
      </c>
      <c r="B13" s="2" t="str">
        <f>B3</f>
        <v>SHA:000001</v>
      </c>
      <c r="C13" s="4">
        <v>200.0</v>
      </c>
      <c r="D13" s="4">
        <v>3859.6226</v>
      </c>
      <c r="E13" s="5">
        <f t="shared" ref="E13:E15" si="2">C13*D13/10000</f>
        <v>77.192452</v>
      </c>
    </row>
    <row r="14">
      <c r="A14" s="3" t="s">
        <v>22</v>
      </c>
      <c r="B14" s="2" t="str">
        <f>B5</f>
        <v>SHE:600004</v>
      </c>
      <c r="C14" s="4">
        <v>300.0</v>
      </c>
      <c r="D14" s="4">
        <v>26.45</v>
      </c>
      <c r="E14" s="5">
        <f t="shared" si="2"/>
        <v>0.7935</v>
      </c>
    </row>
    <row r="15">
      <c r="A15" s="3" t="s">
        <v>23</v>
      </c>
      <c r="B15" s="2" t="str">
        <f>B4</f>
        <v>SHA:000002</v>
      </c>
      <c r="C15" s="4">
        <v>400.0</v>
      </c>
      <c r="D15" s="4">
        <v>4045.9054</v>
      </c>
      <c r="E15" s="5">
        <f t="shared" si="2"/>
        <v>161.836216</v>
      </c>
    </row>
    <row r="16">
      <c r="A16" s="2" t="s">
        <v>12</v>
      </c>
      <c r="B16" s="3" t="s">
        <v>24</v>
      </c>
      <c r="C16" s="4">
        <v>100.0</v>
      </c>
      <c r="D16" s="4">
        <f>IFERROR(__xludf.DUMMYFUNCTION("IFERROR(GOOGLEFINANCE(""HKG:0700"", ""price""), GOOGLEFINANCE(""HKG:0700"", ""close"", WORKDAY(TODAY()+1,-1)))"),617.5)</f>
        <v>617.5</v>
      </c>
      <c r="E16" s="5">
        <f t="shared" ref="E16:E17" si="3">C16*D16*0.9154/10000</f>
        <v>5.652595</v>
      </c>
    </row>
    <row r="17">
      <c r="A17" s="3" t="s">
        <v>25</v>
      </c>
      <c r="B17" s="3" t="s">
        <v>26</v>
      </c>
      <c r="C17" s="4">
        <v>600.0</v>
      </c>
      <c r="D17" s="4">
        <f>IFERROR(__xludf.DUMMYFUNCTION("IFERROR(GOOGLEFINANCE(""HKG:1810"", ""price""), GOOGLEFINANCE(""HKG:1810"", ""close"", WORKDAY(TODAY()+1,-1)))"),37.1)</f>
        <v>37.1</v>
      </c>
      <c r="E17" s="5">
        <f t="shared" si="3"/>
        <v>2.0376804</v>
      </c>
    </row>
    <row r="18">
      <c r="A18" s="3" t="s">
        <v>27</v>
      </c>
      <c r="B18" s="3" t="s">
        <v>13</v>
      </c>
      <c r="C18" s="5">
        <v>700.0</v>
      </c>
      <c r="D18" s="4">
        <v>154.2</v>
      </c>
      <c r="E18" s="5">
        <f t="shared" ref="E18:E19" si="4">C18*D18/10000</f>
        <v>10.794</v>
      </c>
    </row>
    <row r="19">
      <c r="A19" s="3" t="s">
        <v>28</v>
      </c>
      <c r="B19" s="2" t="str">
        <f>B7</f>
        <v>SHA:000007</v>
      </c>
      <c r="C19" s="4">
        <v>800.0</v>
      </c>
      <c r="D19" s="4">
        <v>4589.4335</v>
      </c>
      <c r="E19" s="5">
        <f t="shared" si="4"/>
        <v>367.15468</v>
      </c>
    </row>
    <row r="20">
      <c r="A20" s="2" t="s">
        <v>18</v>
      </c>
      <c r="B20" s="3" t="s">
        <v>17</v>
      </c>
      <c r="C20" s="2" t="s">
        <v>17</v>
      </c>
      <c r="D20" s="2" t="s">
        <v>17</v>
      </c>
      <c r="E20" s="5">
        <v>-0.004</v>
      </c>
    </row>
    <row r="21">
      <c r="A21" s="2" t="s">
        <v>19</v>
      </c>
      <c r="B21" s="3" t="s">
        <v>17</v>
      </c>
      <c r="C21" s="2" t="s">
        <v>17</v>
      </c>
      <c r="D21" s="2" t="s">
        <v>17</v>
      </c>
      <c r="E21" s="6">
        <f>SUM(E13:E20)</f>
        <v>625.4571234</v>
      </c>
      <c r="F21" s="7" t="s">
        <v>29</v>
      </c>
      <c r="H21" s="8">
        <f>E10+E21</f>
        <v>998.0199324</v>
      </c>
      <c r="I21" s="9">
        <v>93.6</v>
      </c>
    </row>
  </sheetData>
  <mergeCells count="3">
    <mergeCell ref="A1:E1"/>
    <mergeCell ref="A11:E11"/>
    <mergeCell ref="F21:G21"/>
  </mergeCells>
  <drawing r:id="rId1"/>
</worksheet>
</file>